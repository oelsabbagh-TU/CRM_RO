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4ef29bcde5e5af6/Thesis Code/"/>
    </mc:Choice>
  </mc:AlternateContent>
  <xr:revisionPtr revIDLastSave="0" documentId="8_{BE01134D-E998-4354-A9AC-80063955F06F}" xr6:coauthVersionLast="47" xr6:coauthVersionMax="47" xr10:uidLastSave="{00000000-0000-0000-0000-000000000000}"/>
  <bookViews>
    <workbookView xWindow="20180" yWindow="2900" windowWidth="25800" windowHeight="13820" xr2:uid="{01D20BD8-DADA-4455-9B94-2285CD6553BF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2" l="1"/>
  <c r="C42" i="2"/>
  <c r="D42" i="2"/>
  <c r="F52" i="2"/>
  <c r="F46" i="2"/>
  <c r="D64" i="2"/>
  <c r="C64" i="2"/>
  <c r="D59" i="2"/>
  <c r="D60" i="2" s="1"/>
  <c r="C59" i="2"/>
  <c r="C60" i="2" s="1"/>
  <c r="B59" i="2"/>
  <c r="C52" i="2"/>
  <c r="D40" i="2"/>
  <c r="C40" i="2"/>
  <c r="D47" i="2"/>
  <c r="D48" i="2" s="1"/>
  <c r="C47" i="2"/>
  <c r="C48" i="2" s="1"/>
  <c r="B47" i="2"/>
  <c r="C50" i="2" s="1"/>
  <c r="C35" i="2"/>
  <c r="D35" i="2"/>
  <c r="B35" i="2"/>
  <c r="C38" i="2" l="1"/>
  <c r="D50" i="2"/>
  <c r="D38" i="2"/>
  <c r="C62" i="2"/>
  <c r="D62" i="2"/>
</calcChain>
</file>

<file path=xl/sharedStrings.xml><?xml version="1.0" encoding="utf-8"?>
<sst xmlns="http://schemas.openxmlformats.org/spreadsheetml/2006/main" count="116" uniqueCount="87">
  <si>
    <t>Basis risk per MW</t>
  </si>
  <si>
    <t>max(0, PA−S) − max(0, PC−S)</t>
  </si>
  <si>
    <t> [+ve windfall, −ve shortfall]</t>
  </si>
  <si>
    <t>FTR</t>
  </si>
  <si>
    <t>When Px &gt;S; Pa - max (Px,S)</t>
  </si>
  <si>
    <t>Basis risk - FTR</t>
  </si>
  <si>
    <t>The FTR re-indexes the generator's payback from P_A to P_local. It is equivalent to the importing TSO buying a basis swap:</t>
  </si>
  <si>
    <t>Scenario</t>
  </si>
  <si>
    <t>Basis risk</t>
  </si>
  <si>
    <t>FTR settlement</t>
  </si>
  <si>
    <t>Net</t>
  </si>
  <si>
    <t>Pa &gt; Px &gt; S</t>
  </si>
  <si>
    <t>Pa - Px &gt; 0 (windfall)</t>
  </si>
  <si>
    <t>(Pa-Px)</t>
  </si>
  <si>
    <t>clawback from x</t>
  </si>
  <si>
    <t>Pa &gt;Px &gt; S</t>
  </si>
  <si>
    <t>Pa - Px &lt; 0 (shortfall)</t>
  </si>
  <si>
    <t>Px - Pa</t>
  </si>
  <si>
    <t>protection to x</t>
  </si>
  <si>
    <t>Pa &gt; S &gt; Px</t>
  </si>
  <si>
    <t>non-callable</t>
  </si>
  <si>
    <t>Px &gt; S &gt; Pa</t>
  </si>
  <si>
    <t>Px - S (shortfall)</t>
  </si>
  <si>
    <t>Px - S</t>
  </si>
  <si>
    <t>Strike price S (€/MWh)</t>
  </si>
  <si>
    <t>Assume same strike price across zones</t>
  </si>
  <si>
    <t>Zonal capacity prices</t>
  </si>
  <si>
    <t>A=60k  B=70k C=80k  €/MW/yr</t>
  </si>
  <si>
    <t>Parameter</t>
  </si>
  <si>
    <t>Value (MW)</t>
  </si>
  <si>
    <t>Notes</t>
  </si>
  <si>
    <t>TSO A — local supply</t>
  </si>
  <si>
    <t>All domestic; exports 4,813 MW to B and C</t>
  </si>
  <si>
    <t>TSO A — contracted for own consumers</t>
  </si>
  <si>
    <t>local supply minus exports</t>
  </si>
  <si>
    <t>TSO B — local supply</t>
  </si>
  <si>
    <t>TSO B — imported from A  (CM_B)</t>
  </si>
  <si>
    <t>Cross-border reliability option</t>
  </si>
  <si>
    <t>TSO B — total contracted</t>
  </si>
  <si>
    <t>14,287 + 408</t>
  </si>
  <si>
    <t>TSO C — local supply</t>
  </si>
  <si>
    <t>TSO C — imported from A  (CM_C)</t>
  </si>
  <si>
    <t>TSO C — total contracted</t>
  </si>
  <si>
    <t>11,906 + 4,405</t>
  </si>
  <si>
    <t>Quantity</t>
  </si>
  <si>
    <t>Formula</t>
  </si>
  <si>
    <t>RO payback per MW (zone x)</t>
  </si>
  <si>
    <t>max(0, Px − S)</t>
  </si>
  <si>
    <t>TSO gen payback received</t>
  </si>
  <si>
    <t>RO_payback_at_source * MW_contracted</t>
  </si>
  <si>
    <t>TSO hedge obligation (to consumers)</t>
  </si>
  <si>
    <t>max(0, P_local − S) × MW_demanded</t>
  </si>
  <si>
    <t>Net position (no FTR)</t>
  </si>
  <si>
    <t>gen_payback_received − hedge_obligation</t>
  </si>
  <si>
    <t>FTR per MW (SHORT, importing TSO)</t>
  </si>
  <si>
    <t>Pa − max(P_local, S)</t>
  </si>
  <si>
    <t>[TSO pays if +ve, receives if −ve]</t>
  </si>
  <si>
    <t>Net position (with FTR)</t>
  </si>
  <si>
    <t>net_no_ftr − ftr_settlement</t>
  </si>
  <si>
    <t>Timestep 12</t>
  </si>
  <si>
    <t>A</t>
  </si>
  <si>
    <t>B</t>
  </si>
  <si>
    <t>C</t>
  </si>
  <si>
    <t>Prices   (€/MW)</t>
  </si>
  <si>
    <t>RO rates    (€/MW)</t>
  </si>
  <si>
    <t>RO Callable?</t>
  </si>
  <si>
    <t>N/A</t>
  </si>
  <si>
    <t>TSO B triggered - windfall</t>
  </si>
  <si>
    <t>Not callable</t>
  </si>
  <si>
    <t>Exporting TSO</t>
  </si>
  <si>
    <t>pays back</t>
  </si>
  <si>
    <t>Pays back</t>
  </si>
  <si>
    <t>FTR : When Pa &gt;S; Pa- max (Px,S)</t>
  </si>
  <si>
    <t>CR</t>
  </si>
  <si>
    <t>congestion rent &gt; RO payout</t>
  </si>
  <si>
    <t>RO should be greater than VC of peaking plant</t>
  </si>
  <si>
    <t>is there line at capacit?</t>
  </si>
  <si>
    <t>internal line constraint at A</t>
  </si>
  <si>
    <t>Timestep 18</t>
  </si>
  <si>
    <t>TSO B triggered - shortfall</t>
  </si>
  <si>
    <t>Receives</t>
  </si>
  <si>
    <t>FTR : When Pa &gt;S; Pa - max (Px,S)</t>
  </si>
  <si>
    <t>Timestep 19</t>
  </si>
  <si>
    <t>MC of peaking unit in each zone</t>
  </si>
  <si>
    <t>Hedging obligation</t>
  </si>
  <si>
    <t>Exporting TSO receives from RO</t>
  </si>
  <si>
    <t>FTR : When Px &gt;S; Pa - max (Px,S)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</si>
</sst>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A2520"/>
      <name val="Aptos Narrow"/>
      <family val="2"/>
      <scheme val="minor"/>
    </font>
    <font>
      <b/>
      <sz val="11"/>
      <name val="Aptos Narrow"/>
      <family val="2"/>
      <scheme val="minor"/>
    </font>
    <font>
      <b/>
      <sz val="9.5"/>
      <color rgb="FFFFFFFF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.5"/>
      <color rgb="FF444444"/>
      <name val="Arial"/>
      <family val="2"/>
    </font>
    <font>
      <sz val="10"/>
      <color rgb="FF000000"/>
      <name val="Atpos narrow"/>
    </font>
    <font>
      <sz val="11"/>
      <color rgb="FF000000"/>
      <name val="Atpos narrow"/>
    </font>
    <font>
      <b/>
      <sz val="10.5"/>
      <color rgb="FFC00000"/>
      <name val="Arial"/>
      <family val="2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3" fontId="0" fillId="0" borderId="0" xfId="0" applyNumberFormat="1"/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2" borderId="0" xfId="1"/>
    <xf numFmtId="0" fontId="4" fillId="2" borderId="0" xfId="1" applyFont="1"/>
    <xf numFmtId="0" fontId="2" fillId="3" borderId="0" xfId="2"/>
    <xf numFmtId="0" fontId="14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4" borderId="0" xfId="0" applyFill="1"/>
    <xf numFmtId="0" fontId="1" fillId="0" borderId="0" xfId="1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114F74-D533-4D8D-BAC7-038E65D0C50D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4fe14c01-d10e-412d-85ad-e8a708f45b8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B284-A17C-4A18-BEB8-C4520C734939}">
  <dimension ref="A1:H73"/>
  <sheetViews>
    <sheetView tabSelected="1" topLeftCell="A20" workbookViewId="0">
      <selection activeCell="A10" sqref="A10"/>
    </sheetView>
  </sheetViews>
  <sheetFormatPr defaultRowHeight="14.5"/>
  <cols>
    <col min="1" max="1" width="38.453125" customWidth="1"/>
    <col min="2" max="2" width="29" customWidth="1"/>
    <col min="3" max="3" width="37.81640625" customWidth="1"/>
    <col min="4" max="4" width="26.1796875" customWidth="1"/>
    <col min="5" max="5" width="25.453125" customWidth="1"/>
    <col min="6" max="6" width="24.54296875" customWidth="1"/>
  </cols>
  <sheetData>
    <row r="1" spans="1:8" ht="27" customHeight="1">
      <c r="B1" s="3" t="s">
        <v>0</v>
      </c>
      <c r="C1" s="3" t="s">
        <v>1</v>
      </c>
      <c r="D1" s="3" t="s">
        <v>2</v>
      </c>
    </row>
    <row r="2" spans="1:8">
      <c r="B2" s="3" t="s">
        <v>3</v>
      </c>
      <c r="C2" s="3" t="s">
        <v>4</v>
      </c>
      <c r="D2" s="3" t="s">
        <v>5</v>
      </c>
      <c r="H2" s="4" t="s">
        <v>6</v>
      </c>
    </row>
    <row r="4" spans="1:8">
      <c r="B4" s="1" t="s">
        <v>7</v>
      </c>
      <c r="C4" s="1" t="s">
        <v>8</v>
      </c>
      <c r="D4" s="1" t="s">
        <v>9</v>
      </c>
      <c r="E4" s="1" t="s">
        <v>10</v>
      </c>
    </row>
    <row r="5" spans="1:8">
      <c r="B5" s="3" t="s">
        <v>11</v>
      </c>
      <c r="C5" s="3" t="s">
        <v>12</v>
      </c>
      <c r="D5" s="3" t="s">
        <v>13</v>
      </c>
      <c r="E5" s="3">
        <v>0</v>
      </c>
      <c r="F5" s="3" t="s">
        <v>14</v>
      </c>
    </row>
    <row r="6" spans="1:8">
      <c r="B6" s="3" t="s">
        <v>15</v>
      </c>
      <c r="C6" s="3" t="s">
        <v>16</v>
      </c>
      <c r="D6" s="3" t="s">
        <v>17</v>
      </c>
      <c r="E6" s="3">
        <v>0</v>
      </c>
      <c r="F6" s="3" t="s">
        <v>18</v>
      </c>
    </row>
    <row r="7" spans="1:8">
      <c r="B7" s="3" t="s">
        <v>19</v>
      </c>
      <c r="C7" s="3">
        <v>0</v>
      </c>
      <c r="D7" s="3">
        <v>0</v>
      </c>
      <c r="E7" s="3">
        <v>0</v>
      </c>
      <c r="F7" s="3" t="s">
        <v>20</v>
      </c>
    </row>
    <row r="8" spans="1:8">
      <c r="B8" s="3" t="s">
        <v>21</v>
      </c>
      <c r="C8" s="3" t="s">
        <v>22</v>
      </c>
      <c r="D8" s="3" t="s">
        <v>23</v>
      </c>
      <c r="E8" s="3">
        <v>0</v>
      </c>
      <c r="F8" s="3" t="s">
        <v>18</v>
      </c>
    </row>
    <row r="9" spans="1:8">
      <c r="B9" s="3"/>
      <c r="C9" s="3"/>
      <c r="D9" s="3"/>
      <c r="E9" s="3"/>
    </row>
    <row r="10" spans="1:8">
      <c r="B10" s="3"/>
      <c r="C10" s="3"/>
      <c r="D10" s="3"/>
      <c r="E10" s="3"/>
    </row>
    <row r="11" spans="1:8">
      <c r="A11" s="7" t="s">
        <v>24</v>
      </c>
      <c r="B11" s="3">
        <v>800</v>
      </c>
      <c r="C11" t="s">
        <v>25</v>
      </c>
      <c r="D11" s="3"/>
      <c r="E11" s="3"/>
    </row>
    <row r="12" spans="1:8">
      <c r="A12" s="10" t="s">
        <v>26</v>
      </c>
      <c r="B12" s="9" t="s">
        <v>27</v>
      </c>
      <c r="D12" s="2"/>
      <c r="E12" s="3"/>
    </row>
    <row r="13" spans="1:8">
      <c r="C13" s="8"/>
      <c r="D13" s="2"/>
      <c r="E13" s="3"/>
    </row>
    <row r="14" spans="1:8">
      <c r="A14" s="18" t="s">
        <v>28</v>
      </c>
      <c r="B14" s="18" t="s">
        <v>29</v>
      </c>
      <c r="C14" s="18" t="s">
        <v>30</v>
      </c>
      <c r="E14" s="3"/>
    </row>
    <row r="15" spans="1:8" ht="15" customHeight="1">
      <c r="A15" s="19" t="s">
        <v>31</v>
      </c>
      <c r="B15" s="20">
        <v>21561</v>
      </c>
      <c r="C15" s="19" t="s">
        <v>32</v>
      </c>
      <c r="D15">
        <v>4813</v>
      </c>
      <c r="E15" s="3"/>
    </row>
    <row r="16" spans="1:8" ht="15" customHeight="1">
      <c r="A16" s="19" t="s">
        <v>33</v>
      </c>
      <c r="B16" s="20">
        <v>16748</v>
      </c>
      <c r="C16" s="19" t="s">
        <v>34</v>
      </c>
      <c r="E16" s="3"/>
    </row>
    <row r="17" spans="1:5" ht="15" customHeight="1">
      <c r="A17" s="19" t="s">
        <v>35</v>
      </c>
      <c r="B17" s="20">
        <v>14287</v>
      </c>
      <c r="C17" s="19"/>
      <c r="E17" s="3"/>
    </row>
    <row r="18" spans="1:5" ht="15" customHeight="1">
      <c r="A18" s="21" t="s">
        <v>36</v>
      </c>
      <c r="B18" s="22">
        <v>408</v>
      </c>
      <c r="C18" s="19" t="s">
        <v>37</v>
      </c>
      <c r="E18" s="3"/>
    </row>
    <row r="19" spans="1:5" ht="15" customHeight="1">
      <c r="A19" s="19" t="s">
        <v>38</v>
      </c>
      <c r="B19" s="20">
        <v>14695</v>
      </c>
      <c r="C19" s="19" t="s">
        <v>39</v>
      </c>
      <c r="E19" s="3"/>
    </row>
    <row r="20" spans="1:5" ht="15" customHeight="1">
      <c r="A20" s="19" t="s">
        <v>40</v>
      </c>
      <c r="B20" s="20">
        <v>11906</v>
      </c>
      <c r="C20" s="19"/>
      <c r="E20" s="3"/>
    </row>
    <row r="21" spans="1:5" ht="15" customHeight="1">
      <c r="A21" s="21" t="s">
        <v>41</v>
      </c>
      <c r="B21" s="20">
        <v>4405</v>
      </c>
      <c r="C21" s="19" t="s">
        <v>37</v>
      </c>
    </row>
    <row r="22" spans="1:5" ht="15" customHeight="1">
      <c r="A22" s="19" t="s">
        <v>42</v>
      </c>
      <c r="B22" s="20">
        <v>16311</v>
      </c>
      <c r="C22" s="19" t="s">
        <v>43</v>
      </c>
    </row>
    <row r="23" spans="1:5">
      <c r="B23" s="5"/>
    </row>
    <row r="24" spans="1:5">
      <c r="A24" s="6" t="s">
        <v>44</v>
      </c>
      <c r="B24" s="6" t="s">
        <v>45</v>
      </c>
    </row>
    <row r="25" spans="1:5" ht="30" customHeight="1">
      <c r="A25" s="17" t="s">
        <v>46</v>
      </c>
      <c r="B25" s="17" t="s">
        <v>47</v>
      </c>
    </row>
    <row r="26" spans="1:5" ht="30" customHeight="1">
      <c r="A26" s="17" t="s">
        <v>48</v>
      </c>
      <c r="B26" s="17" t="s">
        <v>49</v>
      </c>
    </row>
    <row r="27" spans="1:5" ht="30" customHeight="1">
      <c r="A27" s="17" t="s">
        <v>50</v>
      </c>
      <c r="B27" s="17" t="s">
        <v>51</v>
      </c>
    </row>
    <row r="28" spans="1:5" ht="30" customHeight="1">
      <c r="A28" s="17" t="s">
        <v>52</v>
      </c>
      <c r="B28" s="17" t="s">
        <v>53</v>
      </c>
    </row>
    <row r="29" spans="1:5" ht="30" customHeight="1">
      <c r="A29" s="17" t="s">
        <v>54</v>
      </c>
      <c r="B29" s="17" t="s">
        <v>55</v>
      </c>
      <c r="C29" t="s">
        <v>56</v>
      </c>
    </row>
    <row r="30" spans="1:5" ht="30" customHeight="1">
      <c r="A30" s="17" t="s">
        <v>57</v>
      </c>
      <c r="B30" s="17" t="s">
        <v>58</v>
      </c>
    </row>
    <row r="33" spans="1:7" ht="16">
      <c r="A33" s="11" t="s">
        <v>59</v>
      </c>
      <c r="B33" s="12" t="s">
        <v>60</v>
      </c>
      <c r="C33" s="13" t="s">
        <v>61</v>
      </c>
      <c r="D33" s="13" t="s">
        <v>62</v>
      </c>
    </row>
    <row r="34" spans="1:7">
      <c r="A34" t="s">
        <v>63</v>
      </c>
      <c r="B34" s="3">
        <v>490.19</v>
      </c>
      <c r="C34" s="3">
        <v>464.78</v>
      </c>
      <c r="D34" s="3">
        <v>446.55</v>
      </c>
    </row>
    <row r="35" spans="1:7">
      <c r="A35" t="s">
        <v>64</v>
      </c>
      <c r="B35">
        <f>MAX(0, B34-$B$11)</f>
        <v>0</v>
      </c>
      <c r="C35">
        <f>MAX(0, C34-$B$11)</f>
        <v>0</v>
      </c>
      <c r="D35">
        <f>MAX(0, D34-$B$11)</f>
        <v>0</v>
      </c>
    </row>
    <row r="37" spans="1:7">
      <c r="A37" t="s">
        <v>65</v>
      </c>
      <c r="B37" t="s">
        <v>66</v>
      </c>
      <c r="C37" t="s">
        <v>67</v>
      </c>
      <c r="D37" t="s">
        <v>68</v>
      </c>
    </row>
    <row r="38" spans="1:7">
      <c r="A38" t="s">
        <v>8</v>
      </c>
      <c r="B38" t="s">
        <v>66</v>
      </c>
      <c r="C38" s="15">
        <f>(B35-C35)*$B$18</f>
        <v>0</v>
      </c>
      <c r="D38" s="15">
        <f>(B35-D35)*$B$21</f>
        <v>0</v>
      </c>
      <c r="F38">
        <v>12180</v>
      </c>
    </row>
    <row r="39" spans="1:7">
      <c r="A39" t="s">
        <v>69</v>
      </c>
      <c r="C39" t="s">
        <v>70</v>
      </c>
      <c r="D39" t="s">
        <v>71</v>
      </c>
    </row>
    <row r="40" spans="1:7">
      <c r="A40" s="23" t="s">
        <v>72</v>
      </c>
      <c r="C40">
        <f>(B34-MAX(C34,B11))*$B$18</f>
        <v>-126402.48</v>
      </c>
      <c r="D40">
        <f>(B34-B11)*$B$21</f>
        <v>-1364713.05</v>
      </c>
    </row>
    <row r="42" spans="1:7">
      <c r="B42" t="s">
        <v>73</v>
      </c>
      <c r="C42" s="14">
        <f>C44*(C46-B46)</f>
        <v>200465.99999999997</v>
      </c>
      <c r="D42" s="14">
        <f>D44*(D46-B46)</f>
        <v>3634973.4299999997</v>
      </c>
      <c r="F42" t="s">
        <v>74</v>
      </c>
    </row>
    <row r="43" spans="1:7">
      <c r="B43">
        <v>4813</v>
      </c>
      <c r="C43">
        <v>407</v>
      </c>
      <c r="D43">
        <v>4405</v>
      </c>
      <c r="F43" t="s">
        <v>75</v>
      </c>
    </row>
    <row r="44" spans="1:7" s="16" customFormat="1">
      <c r="B44" s="16">
        <v>4472</v>
      </c>
      <c r="C44" s="16">
        <v>555</v>
      </c>
      <c r="D44" s="16">
        <v>5027</v>
      </c>
      <c r="F44" s="16" t="s">
        <v>76</v>
      </c>
      <c r="G44" s="16" t="s">
        <v>77</v>
      </c>
    </row>
    <row r="45" spans="1:7" ht="16">
      <c r="A45" s="11" t="s">
        <v>78</v>
      </c>
      <c r="B45" s="12" t="s">
        <v>60</v>
      </c>
      <c r="C45" s="13" t="s">
        <v>61</v>
      </c>
      <c r="D45" s="13" t="s">
        <v>62</v>
      </c>
    </row>
    <row r="46" spans="1:7">
      <c r="A46" t="s">
        <v>63</v>
      </c>
      <c r="B46" s="3">
        <v>587.19000000000005</v>
      </c>
      <c r="C46" s="3">
        <v>948.39</v>
      </c>
      <c r="D46" s="3">
        <v>1310.28</v>
      </c>
      <c r="F46">
        <f>0.04*F38 + 100</f>
        <v>587.20000000000005</v>
      </c>
    </row>
    <row r="47" spans="1:7">
      <c r="A47" t="s">
        <v>64</v>
      </c>
      <c r="B47">
        <f>MAX(0, B46-$B$11)</f>
        <v>0</v>
      </c>
      <c r="C47">
        <f>MAX(0, C46-$B$11)</f>
        <v>148.38999999999999</v>
      </c>
      <c r="D47">
        <f>MAX(0, D46-$B$11)</f>
        <v>510.28</v>
      </c>
    </row>
    <row r="48" spans="1:7">
      <c r="C48">
        <f>(C47)*$B$18</f>
        <v>60543.119999999995</v>
      </c>
      <c r="D48">
        <f>(D47)*$B$21</f>
        <v>2247783.4</v>
      </c>
    </row>
    <row r="49" spans="1:6">
      <c r="A49" t="s">
        <v>65</v>
      </c>
      <c r="B49" t="s">
        <v>66</v>
      </c>
      <c r="C49" t="s">
        <v>79</v>
      </c>
      <c r="D49" t="s">
        <v>79</v>
      </c>
    </row>
    <row r="50" spans="1:6">
      <c r="A50" t="s">
        <v>8</v>
      </c>
      <c r="B50" t="s">
        <v>66</v>
      </c>
      <c r="C50" s="16">
        <f>(B47-C47)*$B$18</f>
        <v>-60543.119999999995</v>
      </c>
      <c r="D50" s="16">
        <f>(B47-D47)*$B$21</f>
        <v>-2247783.4</v>
      </c>
    </row>
    <row r="51" spans="1:6">
      <c r="A51" t="s">
        <v>69</v>
      </c>
      <c r="C51" t="s">
        <v>80</v>
      </c>
      <c r="D51" t="s">
        <v>80</v>
      </c>
    </row>
    <row r="52" spans="1:6">
      <c r="A52" s="23" t="s">
        <v>81</v>
      </c>
      <c r="C52">
        <f>(B46-MAX(C46,B24))*$B$18</f>
        <v>-147369.59999999998</v>
      </c>
      <c r="D52" s="23">
        <f>(D46-MAX(B46,B11))*$B$21</f>
        <v>2247783.4</v>
      </c>
      <c r="F52">
        <f>0.06*6003+100</f>
        <v>460.18</v>
      </c>
    </row>
    <row r="56" spans="1:6">
      <c r="B56">
        <v>4513</v>
      </c>
    </row>
    <row r="57" spans="1:6" ht="16">
      <c r="A57" s="11" t="s">
        <v>82</v>
      </c>
      <c r="B57" s="12" t="s">
        <v>60</v>
      </c>
      <c r="C57" s="13" t="s">
        <v>61</v>
      </c>
      <c r="D57" s="13" t="s">
        <v>62</v>
      </c>
    </row>
    <row r="58" spans="1:6">
      <c r="A58" t="s">
        <v>63</v>
      </c>
      <c r="B58" s="3">
        <v>628.29999999999995</v>
      </c>
      <c r="C58" s="3">
        <v>577.87</v>
      </c>
      <c r="D58" s="3">
        <v>546.80999999999995</v>
      </c>
      <c r="F58" t="s">
        <v>83</v>
      </c>
    </row>
    <row r="59" spans="1:6">
      <c r="A59" t="s">
        <v>64</v>
      </c>
      <c r="B59">
        <f>MAX(0, B58-$B$11)</f>
        <v>0</v>
      </c>
      <c r="C59">
        <f>MAX(0, C58-$B$11)</f>
        <v>0</v>
      </c>
      <c r="D59">
        <f>MAX(0, D58-$B$11)</f>
        <v>0</v>
      </c>
    </row>
    <row r="60" spans="1:6">
      <c r="A60" t="s">
        <v>84</v>
      </c>
      <c r="C60">
        <f>(C59)*$B$18</f>
        <v>0</v>
      </c>
      <c r="D60">
        <f>(D59)*$B$21</f>
        <v>0</v>
      </c>
    </row>
    <row r="61" spans="1:6">
      <c r="A61" t="s">
        <v>65</v>
      </c>
      <c r="B61" t="s">
        <v>66</v>
      </c>
      <c r="C61" t="s">
        <v>67</v>
      </c>
      <c r="D61" t="s">
        <v>67</v>
      </c>
    </row>
    <row r="62" spans="1:6">
      <c r="A62" t="s">
        <v>8</v>
      </c>
      <c r="B62" t="s">
        <v>66</v>
      </c>
      <c r="C62" s="14">
        <f>(B59-C59)*$B$18</f>
        <v>0</v>
      </c>
      <c r="D62" s="14">
        <f>(B59-D59)*$B$21</f>
        <v>0</v>
      </c>
    </row>
    <row r="63" spans="1:6">
      <c r="A63" t="s">
        <v>85</v>
      </c>
      <c r="C63" t="s">
        <v>71</v>
      </c>
      <c r="D63" t="s">
        <v>71</v>
      </c>
    </row>
    <row r="64" spans="1:6">
      <c r="A64" t="s">
        <v>86</v>
      </c>
      <c r="C64">
        <f>(B58-MAX(C58,B37))*$B$18</f>
        <v>20575.439999999981</v>
      </c>
      <c r="D64">
        <f>(B58-MAX(D58,C37))*$B$21</f>
        <v>358963.45</v>
      </c>
    </row>
    <row r="73" spans="2:2">
      <c r="B7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Kamaldeen Adekola</dc:creator>
  <cp:keywords/>
  <dc:description/>
  <cp:lastModifiedBy>Osama Elsabbagh</cp:lastModifiedBy>
  <cp:revision/>
  <dcterms:created xsi:type="dcterms:W3CDTF">2026-03-09T17:03:29Z</dcterms:created>
  <dcterms:modified xsi:type="dcterms:W3CDTF">2026-04-17T09:26:37Z</dcterms:modified>
  <cp:category/>
  <cp:contentStatus/>
</cp:coreProperties>
</file>